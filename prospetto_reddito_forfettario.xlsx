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tto" sheetId="1" state="visible" r:id="rId1"/>
    <sheet name="Coefficien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&quot;-&quot;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i val="1"/>
      <sz val="9"/>
    </font>
    <font>
      <name val="Arial"/>
      <b val="1"/>
      <color rgb="00FFFFFF"/>
      <sz val="14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9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7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right"/>
    </xf>
    <xf numFmtId="1" fontId="4" fillId="4" borderId="1" applyAlignment="1" pivotButton="0" quotePrefix="0" xfId="0">
      <alignment horizontal="right"/>
    </xf>
    <xf numFmtId="0" fontId="4" fillId="4" borderId="1" applyAlignment="1" pivotButton="0" quotePrefix="0" xfId="0">
      <alignment horizontal="right" wrapText="1"/>
    </xf>
    <xf numFmtId="0" fontId="5" fillId="0" borderId="0" applyAlignment="1" pivotButton="0" quotePrefix="0" xfId="0">
      <alignment vertical="top" wrapText="1"/>
    </xf>
    <xf numFmtId="164" fontId="4" fillId="4" borderId="1" applyAlignment="1" pivotButton="0" quotePrefix="0" xfId="0">
      <alignment horizontal="right"/>
    </xf>
    <xf numFmtId="10" fontId="4" fillId="4" borderId="1" applyAlignment="1" pivotButton="0" quotePrefix="0" xfId="0">
      <alignment horizontal="right"/>
    </xf>
    <xf numFmtId="9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7" fillId="5" borderId="0" pivotButton="0" quotePrefix="0" xfId="0"/>
    <xf numFmtId="164" fontId="7" fillId="5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0" fontId="1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9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  <col width="22" customWidth="1" min="2" max="2"/>
    <col width="70" customWidth="1" min="3" max="3"/>
  </cols>
  <sheetData>
    <row r="1">
      <c r="A1" s="1" t="inlineStr">
        <is>
          <t>PROSPETTO DEL REDDITO - REGIME FORFETTARIO (L. 190/2014)</t>
        </is>
      </c>
      <c r="B1" s="2" t="n"/>
      <c r="C1" s="2" t="n"/>
    </row>
    <row r="2">
      <c r="A2" s="3" t="inlineStr">
        <is>
          <t>Legenda: le celle GIALLE con testo blu sono da compilare. I valori inseriti sono un ESEMPIO da sostituire. Tutto il resto si calcola da solo.</t>
        </is>
      </c>
    </row>
    <row r="4">
      <c r="A4" s="4" t="inlineStr">
        <is>
          <t>A. DATI DA INSERIRE</t>
        </is>
      </c>
      <c r="B4" s="5" t="n"/>
      <c r="C4" s="5" t="n"/>
    </row>
    <row r="5">
      <c r="A5" s="6" t="inlineStr">
        <is>
          <t>Contribuente</t>
        </is>
      </c>
      <c r="B5" s="7" t="inlineStr">
        <is>
          <t>Mario Rossi (esempio)</t>
        </is>
      </c>
    </row>
    <row r="6">
      <c r="A6" s="6" t="inlineStr">
        <is>
          <t>Anno d'imposta</t>
        </is>
      </c>
      <c r="B6" s="8" t="n">
        <v>2025</v>
      </c>
    </row>
    <row r="7" ht="40" customHeight="1">
      <c r="A7" s="6" t="inlineStr">
        <is>
          <t>Categoria di attività</t>
        </is>
      </c>
      <c r="B7" s="9" t="inlineStr">
        <is>
          <t>Attività professionali, scientifiche, tecniche, sanitarie, istruzione, servizi finanziari e assicurativi</t>
        </is>
      </c>
      <c r="C7" s="10" t="inlineStr">
        <is>
          <t>Scegli dall'elenco (foglio 'Coefficienti').</t>
        </is>
      </c>
    </row>
    <row r="8">
      <c r="A8" s="6" t="inlineStr">
        <is>
          <t>Ricavi / compensi incassati nell'anno (principio di cassa)</t>
        </is>
      </c>
      <c r="B8" s="11" t="n">
        <v>60000</v>
      </c>
      <c r="C8" s="10" t="inlineStr">
        <is>
          <t>Nel forfettario rilevano gli importi incassati nel periodo d'imposta.</t>
        </is>
      </c>
    </row>
    <row r="9" ht="28" customHeight="1">
      <c r="A9" s="6" t="inlineStr">
        <is>
          <t>Contributi previdenziali versati nell'anno (deducibili)</t>
        </is>
      </c>
      <c r="B9" s="11" t="n">
        <v>8000</v>
      </c>
      <c r="C9" s="10" t="inlineStr">
        <is>
          <t>Deducibili dal reddito lordo per cassa (contributi obbligatori effettivamente versati).</t>
        </is>
      </c>
    </row>
    <row r="10">
      <c r="A10" s="6" t="inlineStr">
        <is>
          <t>Perdite fiscali pregresse utilizzabili</t>
        </is>
      </c>
      <c r="B10" s="11" t="n">
        <v>0</v>
      </c>
      <c r="C10" s="10" t="inlineStr">
        <is>
          <t>Perdite di anni precedenti (es. periodo in regime ordinario), se riportabili.</t>
        </is>
      </c>
    </row>
    <row r="11" ht="28" customHeight="1">
      <c r="A11" s="6" t="inlineStr">
        <is>
          <t>Aliquota agevolata 5% (start-up, primi 5 anni)?</t>
        </is>
      </c>
      <c r="B11" s="7" t="inlineStr">
        <is>
          <t>No</t>
        </is>
      </c>
      <c r="C11" s="10" t="inlineStr">
        <is>
          <t>Sì solo se ricorrono i requisiti di legge (nuova attività, nessuna attività analoga nei 3 anni precedenti, ecc.).</t>
        </is>
      </c>
    </row>
    <row r="12">
      <c r="A12" s="6" t="inlineStr">
        <is>
          <t>Acconti di imposta sostitutiva versati nell'anno</t>
        </is>
      </c>
      <c r="B12" s="11" t="n">
        <v>2500</v>
      </c>
      <c r="C12" s="10" t="inlineStr">
        <is>
          <t>Somma di 1° e 2° acconto (F24, codici 1790 e 1791).</t>
        </is>
      </c>
    </row>
    <row r="13">
      <c r="A13" s="6" t="inlineStr">
        <is>
          <t>Costi effettivi sostenuti (solo informativo, NON deducibili)</t>
        </is>
      </c>
      <c r="B13" s="11" t="n">
        <v>6000</v>
      </c>
      <c r="C13" s="10" t="inlineStr">
        <is>
          <t>Serve solo per stimare il netto in tasca al contribuente.</t>
        </is>
      </c>
    </row>
    <row r="14" ht="28" customHeight="1">
      <c r="A14" s="6" t="inlineStr">
        <is>
          <t>Aliquota contributiva stimata (per contributi sul reddito dell'anno)</t>
        </is>
      </c>
      <c r="B14" s="12" t="n">
        <v>0.2607</v>
      </c>
      <c r="C14" s="10" t="inlineStr">
        <is>
          <t>Esempio: Gestione Separata 26,07%. Artigiani/commercianti: verificare aliquota e minimale dell'anno. Da aggiornare.</t>
        </is>
      </c>
    </row>
    <row r="16">
      <c r="A16" s="4" t="inlineStr">
        <is>
          <t>B. CALCOLO DEL REDDITO E DELL'IMPOSTA</t>
        </is>
      </c>
      <c r="B16" s="5" t="n"/>
      <c r="C16" s="5" t="n"/>
    </row>
    <row r="17" ht="28" customHeight="1">
      <c r="A17" s="6" t="inlineStr">
        <is>
          <t>Coefficiente di redditività</t>
        </is>
      </c>
      <c r="B17" s="13">
        <f>INDEX(Coefficienti!$C$4:$C$12,MATCH(B7,Coefficienti!$A$4:$A$12,0))</f>
        <v/>
      </c>
    </row>
    <row r="18">
      <c r="A18" s="6" t="inlineStr">
        <is>
          <t>Reddito lordo forfettario (ricavi × coefficiente)</t>
        </is>
      </c>
      <c r="B18" s="14">
        <f>B8*B17</f>
        <v/>
      </c>
      <c r="C18" s="10" t="inlineStr">
        <is>
          <t>Ricavi × coefficiente di redditività.</t>
        </is>
      </c>
    </row>
    <row r="19">
      <c r="A19" s="6" t="inlineStr">
        <is>
          <t>(-) Contributi previdenziali versati</t>
        </is>
      </c>
      <c r="B19" s="14">
        <f>-MIN(B9,B18)</f>
        <v/>
      </c>
      <c r="C19" s="10" t="inlineStr">
        <is>
          <t>Limitati al reddito lordo.</t>
        </is>
      </c>
    </row>
    <row r="20">
      <c r="A20" s="6" t="inlineStr">
        <is>
          <t>(-) Perdite pregresse utilizzate</t>
        </is>
      </c>
      <c r="B20" s="14">
        <f>-MIN(B10,B18+B19)</f>
        <v/>
      </c>
      <c r="C20" s="10" t="inlineStr">
        <is>
          <t>Limitate al reddito residuo.</t>
        </is>
      </c>
    </row>
    <row r="21">
      <c r="A21" s="15" t="inlineStr">
        <is>
          <t>REDDITO IMPONIBILE</t>
        </is>
      </c>
      <c r="B21" s="16">
        <f>MAX(0,B18+B19+B20)</f>
        <v/>
      </c>
    </row>
    <row r="22">
      <c r="A22" s="6" t="inlineStr">
        <is>
          <t>Aliquota imposta sostitutiva</t>
        </is>
      </c>
      <c r="B22" s="17">
        <f>IF(B11="Sì",0.05,0.15)</f>
        <v/>
      </c>
    </row>
    <row r="23">
      <c r="A23" s="15" t="inlineStr">
        <is>
          <t>IMPOSTA SOSTITUTIVA DOVUTA</t>
        </is>
      </c>
      <c r="B23" s="16">
        <f>ROUND(B21*B22,2)</f>
        <v/>
      </c>
    </row>
    <row r="24">
      <c r="A24" s="6" t="inlineStr">
        <is>
          <t>(-) Acconti versati</t>
        </is>
      </c>
      <c r="B24" s="14">
        <f>-B12</f>
        <v/>
      </c>
    </row>
    <row r="25">
      <c r="A25" s="15" t="inlineStr">
        <is>
          <t>SALDO DA VERSARE / (CREDITO)</t>
        </is>
      </c>
      <c r="B25" s="16">
        <f>B23+B24</f>
        <v/>
      </c>
      <c r="C25" s="10" t="inlineStr">
        <is>
          <t>Positivo = da versare a saldo; negativo = credito.</t>
        </is>
      </c>
    </row>
    <row r="27">
      <c r="A27" s="4" t="inlineStr">
        <is>
          <t>C. ACCONTI PER L'ANNO SUCCESSIVO (metodo storico)</t>
        </is>
      </c>
      <c r="B27" s="5" t="n"/>
      <c r="C27" s="5" t="n"/>
    </row>
    <row r="28">
      <c r="A28" s="6" t="inlineStr">
        <is>
          <t>Totale acconti dovuti</t>
        </is>
      </c>
      <c r="B28" s="14">
        <f>IF(B23&lt;=51.65,0,B23)</f>
        <v/>
      </c>
      <c r="C28" s="10" t="inlineStr">
        <is>
          <t>Pari al 100% dell'imposta dell'anno; non dovuti se l'imposta è ≤ € 51,65.</t>
        </is>
      </c>
    </row>
    <row r="29">
      <c r="A29" s="6" t="inlineStr">
        <is>
          <t>1° acconto (giugno, 50%)</t>
        </is>
      </c>
      <c r="B29" s="14">
        <f>IF(B28&lt;257.52,0,ROUND(B28*0.5,2))</f>
        <v/>
      </c>
      <c r="C29" s="10" t="inlineStr">
        <is>
          <t>Se il totale è &lt; € 257,52 si versa in un'unica rata a novembre.</t>
        </is>
      </c>
    </row>
    <row r="30">
      <c r="A30" s="6" t="inlineStr">
        <is>
          <t>2° acconto (novembre)</t>
        </is>
      </c>
      <c r="B30" s="14">
        <f>B28-B29</f>
        <v/>
      </c>
    </row>
    <row r="32">
      <c r="A32" s="4" t="inlineStr">
        <is>
          <t>D. STIMA CONTRIBUTI E NETTO PER IL CLIENTE</t>
        </is>
      </c>
      <c r="B32" s="5" t="n"/>
      <c r="C32" s="5" t="n"/>
    </row>
    <row r="33">
      <c r="A33" s="6" t="inlineStr">
        <is>
          <t>Contributi stimati sul reddito lordo dell'anno (da versare l'anno dopo)</t>
        </is>
      </c>
      <c r="B33" s="14">
        <f>ROUND(B18*B14,2)</f>
        <v/>
      </c>
      <c r="C33" s="10" t="inlineStr">
        <is>
          <t>Stima indicativa: per artigiani/commercianti considerare minimale e massimale.</t>
        </is>
      </c>
    </row>
    <row r="34">
      <c r="A34" s="15" t="inlineStr">
        <is>
          <t>Netto in tasca stimato (ricavi - costi - imposta - contributi versati)</t>
        </is>
      </c>
      <c r="B34" s="16">
        <f>B8-B13-B23-B9</f>
        <v/>
      </c>
    </row>
    <row r="35">
      <c r="A35" s="6" t="inlineStr">
        <is>
          <t>Incidenza fiscale e contributiva sui ricavi</t>
        </is>
      </c>
      <c r="B35" s="17">
        <f>IF(B8=0,0,(B23+B9)/B8)</f>
        <v/>
      </c>
    </row>
    <row r="37">
      <c r="A37" s="4" t="inlineStr">
        <is>
          <t>E. CONTROLLI</t>
        </is>
      </c>
      <c r="B37" s="5" t="n"/>
      <c r="C37" s="5" t="n"/>
    </row>
    <row r="38" ht="28" customHeight="1">
      <c r="A38" s="6" t="inlineStr">
        <is>
          <t>Verifica limite ricavi (€ 85.000 / € 100.000)</t>
        </is>
      </c>
      <c r="B38" s="18">
        <f>IF(B8&gt;100000,"USCITA IMMEDIATA",IF(B8&gt;85000,"Superato 85.000","OK"))</f>
        <v/>
      </c>
      <c r="C38" s="10" t="inlineStr">
        <is>
          <t>&gt; 85.000: uscita dal regime dall'anno successivo; &gt; 100.000: uscita dall'anno stesso (IVA ordinaria da subito).</t>
        </is>
      </c>
    </row>
    <row r="39">
      <c r="A39" s="6" t="inlineStr">
        <is>
          <t>Coerenza acconti</t>
        </is>
      </c>
      <c r="B39" s="18">
        <f>IF(B12&gt;B23,"Acconti &gt; imposta: credito","OK")</f>
        <v/>
      </c>
    </row>
    <row r="41" ht="40" customHeight="1">
      <c r="A41" s="10" t="inlineStr">
        <is>
          <t>Ipotesi e limiti: coefficienti, soglie, aliquote 5%/15% e regole sugli acconti sono quelli noti alla data di redazione; contributi e minimali INPS vanno inseriti/aggiornati a mano. Il modello è un supporto di calcolo e va verificato dal professionista prima dell'uso.</t>
        </is>
      </c>
    </row>
  </sheetData>
  <mergeCells count="2">
    <mergeCell ref="A41:C41"/>
    <mergeCell ref="A2:C2"/>
  </mergeCells>
  <dataValidations count="2">
    <dataValidation sqref="B7" showDropDown="0" showInputMessage="0" showErrorMessage="0" allowBlank="0" type="list">
      <formula1>=Coefficienti!$A$4:$A$12</formula1>
    </dataValidation>
    <dataValidation sqref="B11" showDropDown="0" showInputMessage="0" showErrorMessage="0" allowBlank="0" type="list">
      <formula1>"Sì,No"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70" customWidth="1" min="1" max="1"/>
    <col width="55" customWidth="1" min="2" max="2"/>
    <col width="14" customWidth="1" min="3" max="3"/>
  </cols>
  <sheetData>
    <row r="1">
      <c r="A1" s="19" t="inlineStr">
        <is>
          <t>Coefficienti di redditività - regime forfettario</t>
        </is>
      </c>
    </row>
    <row r="3">
      <c r="A3" s="20" t="inlineStr">
        <is>
          <t>Categoria di attività</t>
        </is>
      </c>
      <c r="B3" s="20" t="inlineStr">
        <is>
          <t>Codici ATECO (indicativi)</t>
        </is>
      </c>
      <c r="C3" s="20" t="inlineStr">
        <is>
          <t>Coefficiente</t>
        </is>
      </c>
    </row>
    <row r="4">
      <c r="A4" s="21" t="inlineStr">
        <is>
          <t>Industrie alimentari e delle bevande</t>
        </is>
      </c>
      <c r="B4" s="21" t="inlineStr">
        <is>
          <t>10 - 11</t>
        </is>
      </c>
      <c r="C4" s="22" t="n">
        <v>0.4</v>
      </c>
    </row>
    <row r="5">
      <c r="A5" s="21" t="inlineStr">
        <is>
          <t>Commercio all'ingrosso e al dettaglio</t>
        </is>
      </c>
      <c r="B5" s="21" t="inlineStr">
        <is>
          <t>45, 46.2-46.9, 47.1-47.7, 47.9</t>
        </is>
      </c>
      <c r="C5" s="22" t="n">
        <v>0.4</v>
      </c>
    </row>
    <row r="6">
      <c r="A6" s="21" t="inlineStr">
        <is>
          <t>Commercio ambulante di prodotti alimentari e bevande</t>
        </is>
      </c>
      <c r="B6" s="21" t="inlineStr">
        <is>
          <t>47.81</t>
        </is>
      </c>
      <c r="C6" s="22" t="n">
        <v>0.4</v>
      </c>
    </row>
    <row r="7">
      <c r="A7" s="21" t="inlineStr">
        <is>
          <t>Commercio ambulante di altri prodotti</t>
        </is>
      </c>
      <c r="B7" s="21" t="inlineStr">
        <is>
          <t>47.82, 47.89</t>
        </is>
      </c>
      <c r="C7" s="22" t="n">
        <v>0.54</v>
      </c>
    </row>
    <row r="8">
      <c r="A8" s="21" t="inlineStr">
        <is>
          <t>Costruzioni e attività immobiliari</t>
        </is>
      </c>
      <c r="B8" s="21" t="inlineStr">
        <is>
          <t>41, 42, 43, 68</t>
        </is>
      </c>
      <c r="C8" s="22" t="n">
        <v>0.86</v>
      </c>
    </row>
    <row r="9">
      <c r="A9" s="21" t="inlineStr">
        <is>
          <t>Intermediari del commercio</t>
        </is>
      </c>
      <c r="B9" s="21" t="inlineStr">
        <is>
          <t>46.1</t>
        </is>
      </c>
      <c r="C9" s="22" t="n">
        <v>0.62</v>
      </c>
    </row>
    <row r="10">
      <c r="A10" s="21" t="inlineStr">
        <is>
          <t>Servizi di alloggio e di ristorazione</t>
        </is>
      </c>
      <c r="B10" s="21" t="inlineStr">
        <is>
          <t>55, 56</t>
        </is>
      </c>
      <c r="C10" s="22" t="n">
        <v>0.4</v>
      </c>
    </row>
    <row r="11">
      <c r="A11" s="21" t="inlineStr">
        <is>
          <t>Attività professionali, scientifiche, tecniche, sanitarie, istruzione, servizi finanziari e assicurativi</t>
        </is>
      </c>
      <c r="B11" s="21" t="inlineStr">
        <is>
          <t>64-66, 69-75, 85, 86-88</t>
        </is>
      </c>
      <c r="C11" s="22" t="n">
        <v>0.78</v>
      </c>
    </row>
    <row r="12">
      <c r="A12" s="21" t="inlineStr">
        <is>
          <t>Altre attività economiche</t>
        </is>
      </c>
      <c r="B12" s="21" t="inlineStr">
        <is>
          <t>01-03, 05-09, 12-33, 35-39, 49-53, 58-63, 77-82, 84, 90-99</t>
        </is>
      </c>
      <c r="C12" s="22" t="n">
        <v>0.67</v>
      </c>
    </row>
    <row r="14">
      <c r="A14" s="3" t="inlineStr">
        <is>
          <t>Fonte: allegato 4 alla L. 190/2014 (coefficienti di redditività). Da verificare sulla versione vigente prima dell'uso.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2026-09-29T18:02:24Z</dcterms:created>
  <dcterms:modified xsi:type="dcterms:W3CDTF">2026-09-29T18:02:24Z</dcterms:modified>
</cp:coreProperties>
</file>